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e\"/>
    </mc:Choice>
  </mc:AlternateContent>
  <xr:revisionPtr revIDLastSave="0" documentId="13_ncr:1_{BB204C59-09D4-459A-8B0E-32C884525C29}" xr6:coauthVersionLast="47" xr6:coauthVersionMax="47" xr10:uidLastSave="{00000000-0000-0000-0000-000000000000}"/>
  <bookViews>
    <workbookView xWindow="-108" yWindow="-108" windowWidth="23256" windowHeight="13176" activeTab="1" xr2:uid="{98107E97-EF87-41F6-913B-DA0A6D333A76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2" l="1"/>
  <c r="S19" i="2"/>
  <c r="Q19" i="2"/>
  <c r="M19" i="2"/>
  <c r="N19" i="2"/>
  <c r="L19" i="2"/>
  <c r="H19" i="2"/>
  <c r="I19" i="2"/>
  <c r="G19" i="2"/>
  <c r="M19" i="1"/>
  <c r="C19" i="2"/>
  <c r="D19" i="2"/>
  <c r="B19" i="2"/>
  <c r="J19" i="1"/>
  <c r="F19" i="1"/>
  <c r="B19" i="1"/>
</calcChain>
</file>

<file path=xl/sharedStrings.xml><?xml version="1.0" encoding="utf-8"?>
<sst xmlns="http://schemas.openxmlformats.org/spreadsheetml/2006/main" count="258" uniqueCount="79">
  <si>
    <t>Name</t>
  </si>
  <si>
    <t>Class_Teacher</t>
  </si>
  <si>
    <t>Student Details</t>
  </si>
  <si>
    <t>Aman</t>
  </si>
  <si>
    <t>Priya</t>
  </si>
  <si>
    <t>Rohan</t>
  </si>
  <si>
    <t>Neha</t>
  </si>
  <si>
    <t>Arjun</t>
  </si>
  <si>
    <t>Sanaya</t>
  </si>
  <si>
    <t>Vikram</t>
  </si>
  <si>
    <t>Ananya</t>
  </si>
  <si>
    <t>Karan</t>
  </si>
  <si>
    <t>Pooja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</si>
  <si>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</si>
  <si>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</si>
  <si>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</si>
  <si>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</si>
  <si>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</si>
  <si>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</si>
  <si>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</si>
  <si>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</si>
  <si>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</si>
  <si>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</si>
  <si>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Mr.Sharma</t>
  </si>
  <si>
    <t>Ms.Gupta</t>
  </si>
  <si>
    <t>Ms.Mehta</t>
  </si>
  <si>
    <t>Mr.Kapoor</t>
  </si>
  <si>
    <t>Ms.Desai</t>
  </si>
  <si>
    <t>Mr.Malhotra</t>
  </si>
  <si>
    <t>Ms.Iyer</t>
  </si>
  <si>
    <t>Mr.Reddy</t>
  </si>
  <si>
    <t>Ms.Singh</t>
  </si>
  <si>
    <t>Dept_ID</t>
  </si>
  <si>
    <t>Name of HOD</t>
  </si>
  <si>
    <t>dept Details</t>
  </si>
  <si>
    <t>Dr.Verma</t>
  </si>
  <si>
    <t>Dr.Patel</t>
  </si>
  <si>
    <t>Dr.Joshi</t>
  </si>
  <si>
    <t>Dr.Iyer</t>
  </si>
  <si>
    <t>Dr.Reddy</t>
  </si>
  <si>
    <t>Dr.Nair</t>
  </si>
  <si>
    <t>Dr.Sharma</t>
  </si>
  <si>
    <t>Dr.Malhotra</t>
  </si>
  <si>
    <t>Dr.Mehta</t>
  </si>
  <si>
    <t>Dr.Kapoor</t>
  </si>
  <si>
    <t>HOD and Dept Detail</t>
  </si>
  <si>
    <t>Name of Dept</t>
  </si>
  <si>
    <t>Major Subjec</t>
  </si>
  <si>
    <t>Computer Science</t>
  </si>
  <si>
    <t>Electronics</t>
  </si>
  <si>
    <t>Mechanical</t>
  </si>
  <si>
    <t>Civil</t>
  </si>
  <si>
    <t>Chemical</t>
  </si>
  <si>
    <t>Biotechnology</t>
  </si>
  <si>
    <t>Physics</t>
  </si>
  <si>
    <t>Chemistry</t>
  </si>
  <si>
    <t>Mathematics</t>
  </si>
  <si>
    <t>Economics</t>
  </si>
  <si>
    <t>Programming</t>
  </si>
  <si>
    <t>Circuits</t>
  </si>
  <si>
    <t>Thermodynamics</t>
  </si>
  <si>
    <t>Analysis</t>
  </si>
  <si>
    <t>Reaction</t>
  </si>
  <si>
    <t>Genetics</t>
  </si>
  <si>
    <t>Mechanics</t>
  </si>
  <si>
    <t>Calculus</t>
  </si>
  <si>
    <t>Microeconomics</t>
  </si>
  <si>
    <t>Major Subject Detail</t>
  </si>
  <si>
    <t>Major_Subj</t>
  </si>
  <si>
    <t>Credits</t>
  </si>
  <si>
    <t>Duration</t>
  </si>
  <si>
    <t>(ii) Using department id find the major subject</t>
  </si>
  <si>
    <t>(iii) Using department name find the Duration</t>
  </si>
  <si>
    <t>(i) Using name of the student find the hod</t>
  </si>
  <si>
    <t>VLOOKUP</t>
  </si>
  <si>
    <t>Hlookup</t>
  </si>
  <si>
    <t>(i) prepare a vlookup and find the total duration for which the student will be engaged in the class to get their respective degrees</t>
  </si>
  <si>
    <t>Dept Detail</t>
  </si>
  <si>
    <t>(i) prepare a hlookup and find the total duration for which the student will be engaged in the class to get their respective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</si>
</sst>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lgerian"/>
      <family val="5"/>
    </font>
    <font>
      <sz val="11"/>
      <color theme="1"/>
      <name val="Algerian"/>
      <family val="5"/>
    </font>
    <font>
      <sz val="14"/>
      <color theme="1"/>
      <name val="Algerian"/>
      <family val="5"/>
    </font>
    <font>
      <sz val="14"/>
      <color theme="1"/>
      <name val="Aptos Narrow"/>
      <family val="2"/>
      <scheme val="minor"/>
    </font>
    <font>
      <b/>
      <sz val="26"/>
      <color theme="1"/>
      <name val="Algerian"/>
      <family val="5"/>
    </font>
    <font>
      <sz val="12"/>
      <color theme="1"/>
      <name val="Algerian"/>
      <family val="5"/>
    </font>
    <font>
      <sz val="26"/>
      <color theme="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EE2A-EA73-4E4E-A4D8-AE04E3ADE1BD}">
  <dimension ref="A1:V22"/>
  <sheetViews>
    <sheetView zoomScale="119" zoomScaleNormal="119" workbookViewId="0">
      <selection activeCell="L16" sqref="L16:V16"/>
    </sheetView>
  </sheetViews>
  <sheetFormatPr defaultRowHeight="14.4" x14ac:dyDescent="0.3"/>
  <cols>
    <col min="2" max="2" width="12.77734375" bestFit="1" customWidth="1"/>
    <col min="3" max="3" width="13.77734375" bestFit="1" customWidth="1"/>
    <col min="4" max="4" width="10.77734375" customWidth="1"/>
    <col min="5" max="5" width="11.88671875" customWidth="1"/>
    <col min="6" max="6" width="12.77734375" bestFit="1" customWidth="1"/>
    <col min="7" max="7" width="12.44140625" bestFit="1" customWidth="1"/>
    <col min="8" max="8" width="14" customWidth="1"/>
    <col min="9" max="9" width="16.109375" bestFit="1" customWidth="1"/>
    <col min="10" max="10" width="20.44140625" customWidth="1"/>
    <col min="11" max="11" width="17.21875" customWidth="1"/>
    <col min="12" max="12" width="16.21875" bestFit="1" customWidth="1"/>
    <col min="13" max="14" width="12.109375" customWidth="1"/>
  </cols>
  <sheetData>
    <row r="1" spans="1:22" ht="16.2" customHeight="1" x14ac:dyDescent="0.3">
      <c r="A1" s="7" t="s">
        <v>2</v>
      </c>
      <c r="B1" s="7"/>
      <c r="C1" s="7"/>
      <c r="D1" s="2"/>
      <c r="E1" s="26" t="s">
        <v>77</v>
      </c>
      <c r="F1" s="26"/>
      <c r="G1" s="2"/>
      <c r="H1" s="8" t="s">
        <v>45</v>
      </c>
      <c r="I1" s="9"/>
      <c r="J1" s="10"/>
      <c r="K1" s="1"/>
      <c r="L1" s="23" t="s">
        <v>67</v>
      </c>
      <c r="M1" s="24"/>
      <c r="N1" s="25"/>
    </row>
    <row r="2" spans="1:22" ht="14.4" customHeight="1" x14ac:dyDescent="0.3">
      <c r="A2" s="5" t="s">
        <v>0</v>
      </c>
      <c r="B2" s="5" t="s">
        <v>32</v>
      </c>
      <c r="C2" s="5" t="s">
        <v>1</v>
      </c>
      <c r="D2" s="2"/>
      <c r="E2" s="5" t="s">
        <v>32</v>
      </c>
      <c r="F2" s="5" t="s">
        <v>33</v>
      </c>
      <c r="G2" s="2"/>
      <c r="H2" s="5" t="s">
        <v>33</v>
      </c>
      <c r="I2" s="5" t="s">
        <v>46</v>
      </c>
      <c r="J2" s="5" t="s">
        <v>47</v>
      </c>
      <c r="K2" s="1"/>
      <c r="L2" s="5" t="s">
        <v>68</v>
      </c>
      <c r="M2" s="5" t="s">
        <v>69</v>
      </c>
      <c r="N2" s="5" t="s">
        <v>70</v>
      </c>
    </row>
    <row r="3" spans="1:22" x14ac:dyDescent="0.3">
      <c r="A3" s="3" t="s">
        <v>3</v>
      </c>
      <c r="B3" s="3" t="s">
        <v>13</v>
      </c>
      <c r="C3" s="3" t="s">
        <v>23</v>
      </c>
      <c r="D3" s="1"/>
      <c r="E3" s="3" t="s">
        <v>13</v>
      </c>
      <c r="F3" s="3" t="s">
        <v>35</v>
      </c>
      <c r="G3" s="1"/>
      <c r="H3" s="3" t="s">
        <v>35</v>
      </c>
      <c r="I3" s="3" t="s">
        <v>48</v>
      </c>
      <c r="J3" s="3" t="s">
        <v>58</v>
      </c>
      <c r="K3" s="1"/>
      <c r="L3" s="3" t="s">
        <v>58</v>
      </c>
      <c r="M3" s="3">
        <v>4</v>
      </c>
      <c r="N3" s="3">
        <v>16</v>
      </c>
    </row>
    <row r="4" spans="1:22" x14ac:dyDescent="0.3">
      <c r="A4" s="3" t="s">
        <v>4</v>
      </c>
      <c r="B4" s="3" t="s">
        <v>14</v>
      </c>
      <c r="C4" s="3" t="s">
        <v>24</v>
      </c>
      <c r="D4" s="1"/>
      <c r="E4" s="3" t="s">
        <v>14</v>
      </c>
      <c r="F4" s="3" t="s">
        <v>36</v>
      </c>
      <c r="G4" s="1"/>
      <c r="H4" s="3" t="s">
        <v>36</v>
      </c>
      <c r="I4" s="3" t="s">
        <v>49</v>
      </c>
      <c r="J4" s="3" t="s">
        <v>59</v>
      </c>
      <c r="K4" s="1"/>
      <c r="L4" s="3" t="s">
        <v>59</v>
      </c>
      <c r="M4" s="3">
        <v>3</v>
      </c>
      <c r="N4" s="3">
        <v>12</v>
      </c>
    </row>
    <row r="5" spans="1:22" x14ac:dyDescent="0.3">
      <c r="A5" s="3" t="s">
        <v>5</v>
      </c>
      <c r="B5" s="3" t="s">
        <v>15</v>
      </c>
      <c r="C5" s="3" t="s">
        <v>23</v>
      </c>
      <c r="D5" s="1"/>
      <c r="E5" s="3" t="s">
        <v>15</v>
      </c>
      <c r="F5" s="3" t="s">
        <v>37</v>
      </c>
      <c r="G5" s="1"/>
      <c r="H5" s="3" t="s">
        <v>37</v>
      </c>
      <c r="I5" s="3" t="s">
        <v>50</v>
      </c>
      <c r="J5" s="3" t="s">
        <v>60</v>
      </c>
      <c r="K5" s="1"/>
      <c r="L5" s="3" t="s">
        <v>60</v>
      </c>
      <c r="M5" s="3">
        <v>5</v>
      </c>
      <c r="N5" s="3">
        <v>20</v>
      </c>
    </row>
    <row r="6" spans="1:22" x14ac:dyDescent="0.3">
      <c r="A6" s="3" t="s">
        <v>6</v>
      </c>
      <c r="B6" s="3" t="s">
        <v>16</v>
      </c>
      <c r="C6" s="3" t="s">
        <v>31</v>
      </c>
      <c r="D6" s="1"/>
      <c r="E6" s="3" t="s">
        <v>16</v>
      </c>
      <c r="F6" s="3" t="s">
        <v>38</v>
      </c>
      <c r="G6" s="1"/>
      <c r="H6" s="3" t="s">
        <v>38</v>
      </c>
      <c r="I6" s="3" t="s">
        <v>51</v>
      </c>
      <c r="J6" s="3" t="s">
        <v>61</v>
      </c>
      <c r="K6" s="1"/>
      <c r="L6" s="3" t="s">
        <v>61</v>
      </c>
      <c r="M6" s="3">
        <v>4</v>
      </c>
      <c r="N6" s="3">
        <v>15</v>
      </c>
    </row>
    <row r="7" spans="1:22" x14ac:dyDescent="0.3">
      <c r="A7" s="3" t="s">
        <v>7</v>
      </c>
      <c r="B7" s="3" t="s">
        <v>17</v>
      </c>
      <c r="C7" s="3" t="s">
        <v>25</v>
      </c>
      <c r="D7" s="1"/>
      <c r="E7" s="3" t="s">
        <v>17</v>
      </c>
      <c r="F7" s="3" t="s">
        <v>39</v>
      </c>
      <c r="G7" s="1"/>
      <c r="H7" s="3" t="s">
        <v>39</v>
      </c>
      <c r="I7" s="3" t="s">
        <v>52</v>
      </c>
      <c r="J7" s="3" t="s">
        <v>62</v>
      </c>
      <c r="K7" s="1"/>
      <c r="L7" s="3" t="s">
        <v>62</v>
      </c>
      <c r="M7" s="3">
        <v>3</v>
      </c>
      <c r="N7" s="3">
        <v>28</v>
      </c>
    </row>
    <row r="8" spans="1:22" x14ac:dyDescent="0.3">
      <c r="A8" s="3" t="s">
        <v>8</v>
      </c>
      <c r="B8" s="3" t="s">
        <v>18</v>
      </c>
      <c r="C8" s="3" t="s">
        <v>26</v>
      </c>
      <c r="D8" s="1"/>
      <c r="E8" s="3" t="s">
        <v>18</v>
      </c>
      <c r="F8" s="3" t="s">
        <v>40</v>
      </c>
      <c r="G8" s="1"/>
      <c r="H8" s="3" t="s">
        <v>40</v>
      </c>
      <c r="I8" s="3" t="s">
        <v>53</v>
      </c>
      <c r="J8" s="3" t="s">
        <v>63</v>
      </c>
      <c r="K8" s="1"/>
      <c r="L8" s="3" t="s">
        <v>63</v>
      </c>
      <c r="M8" s="3">
        <v>5</v>
      </c>
      <c r="N8" s="3">
        <v>21</v>
      </c>
    </row>
    <row r="9" spans="1:22" x14ac:dyDescent="0.3">
      <c r="A9" s="3" t="s">
        <v>9</v>
      </c>
      <c r="B9" s="3" t="s">
        <v>19</v>
      </c>
      <c r="C9" s="3" t="s">
        <v>27</v>
      </c>
      <c r="D9" s="1"/>
      <c r="E9" s="3" t="s">
        <v>19</v>
      </c>
      <c r="F9" s="3" t="s">
        <v>41</v>
      </c>
      <c r="G9" s="1"/>
      <c r="H9" s="3" t="s">
        <v>41</v>
      </c>
      <c r="I9" s="3" t="s">
        <v>54</v>
      </c>
      <c r="J9" s="3" t="s">
        <v>64</v>
      </c>
      <c r="K9" s="1"/>
      <c r="L9" s="3" t="s">
        <v>64</v>
      </c>
      <c r="M9" s="3">
        <v>5</v>
      </c>
      <c r="N9" s="3">
        <v>22</v>
      </c>
    </row>
    <row r="10" spans="1:22" x14ac:dyDescent="0.3">
      <c r="A10" s="3" t="s">
        <v>10</v>
      </c>
      <c r="B10" s="3" t="s">
        <v>20</v>
      </c>
      <c r="C10" s="3" t="s">
        <v>28</v>
      </c>
      <c r="D10" s="1"/>
      <c r="E10" s="3" t="s">
        <v>20</v>
      </c>
      <c r="F10" s="3" t="s">
        <v>42</v>
      </c>
      <c r="G10" s="1"/>
      <c r="H10" s="3" t="s">
        <v>42</v>
      </c>
      <c r="I10" s="3" t="s">
        <v>55</v>
      </c>
      <c r="J10" s="3" t="s">
        <v>55</v>
      </c>
      <c r="K10" s="1"/>
      <c r="L10" s="3" t="s">
        <v>55</v>
      </c>
      <c r="M10" s="3">
        <v>3</v>
      </c>
      <c r="N10" s="3">
        <v>14</v>
      </c>
    </row>
    <row r="11" spans="1:22" x14ac:dyDescent="0.3">
      <c r="A11" s="3" t="s">
        <v>11</v>
      </c>
      <c r="B11" s="3" t="s">
        <v>21</v>
      </c>
      <c r="C11" s="3" t="s">
        <v>29</v>
      </c>
      <c r="D11" s="1"/>
      <c r="E11" s="3" t="s">
        <v>21</v>
      </c>
      <c r="F11" s="3" t="s">
        <v>43</v>
      </c>
      <c r="G11" s="1"/>
      <c r="H11" s="3" t="s">
        <v>43</v>
      </c>
      <c r="I11" s="3" t="s">
        <v>56</v>
      </c>
      <c r="J11" s="3" t="s">
        <v>65</v>
      </c>
      <c r="K11" s="1"/>
      <c r="L11" s="3" t="s">
        <v>65</v>
      </c>
      <c r="M11" s="3">
        <v>4</v>
      </c>
      <c r="N11" s="3">
        <v>16</v>
      </c>
    </row>
    <row r="12" spans="1:22" x14ac:dyDescent="0.3">
      <c r="A12" s="3" t="s">
        <v>12</v>
      </c>
      <c r="B12" s="3" t="s">
        <v>22</v>
      </c>
      <c r="C12" s="3" t="s">
        <v>30</v>
      </c>
      <c r="D12" s="1"/>
      <c r="E12" s="3" t="s">
        <v>22</v>
      </c>
      <c r="F12" s="3" t="s">
        <v>44</v>
      </c>
      <c r="G12" s="1"/>
      <c r="H12" s="3" t="s">
        <v>44</v>
      </c>
      <c r="I12" s="3" t="s">
        <v>57</v>
      </c>
      <c r="J12" s="3" t="s">
        <v>66</v>
      </c>
      <c r="K12" s="1"/>
      <c r="L12" s="3" t="s">
        <v>66</v>
      </c>
      <c r="M12" s="3">
        <v>3</v>
      </c>
      <c r="N12" s="3">
        <v>23</v>
      </c>
    </row>
    <row r="15" spans="1:22" x14ac:dyDescent="0.3">
      <c r="C15" s="1"/>
      <c r="K15" s="4"/>
    </row>
    <row r="16" spans="1:22" x14ac:dyDescent="0.3">
      <c r="A16" s="20" t="s">
        <v>73</v>
      </c>
      <c r="B16" s="20"/>
      <c r="C16" s="20"/>
      <c r="E16" s="12" t="s">
        <v>71</v>
      </c>
      <c r="F16" s="12"/>
      <c r="G16" s="12"/>
      <c r="I16" s="13" t="s">
        <v>72</v>
      </c>
      <c r="J16" s="13"/>
      <c r="L16" s="12" t="s">
        <v>76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14" ht="19.8" x14ac:dyDescent="0.4">
      <c r="A17" s="21" t="s">
        <v>74</v>
      </c>
      <c r="B17" s="22"/>
      <c r="E17" s="21" t="s">
        <v>74</v>
      </c>
      <c r="F17" s="22"/>
      <c r="I17" s="21" t="s">
        <v>74</v>
      </c>
      <c r="J17" s="22"/>
      <c r="L17" s="11" t="s">
        <v>74</v>
      </c>
      <c r="M17" s="11"/>
    </row>
    <row r="18" spans="1:14" x14ac:dyDescent="0.3">
      <c r="A18" s="5" t="s">
        <v>0</v>
      </c>
      <c r="B18" s="5" t="s">
        <v>33</v>
      </c>
      <c r="E18" s="5" t="s">
        <v>32</v>
      </c>
      <c r="F18" s="5" t="s">
        <v>47</v>
      </c>
      <c r="I18" s="5" t="s">
        <v>46</v>
      </c>
      <c r="J18" s="5" t="s">
        <v>70</v>
      </c>
      <c r="L18" s="5" t="s">
        <v>0</v>
      </c>
      <c r="M18" s="5" t="s">
        <v>70</v>
      </c>
      <c r="N18" s="1"/>
    </row>
    <row r="19" spans="1:14" x14ac:dyDescent="0.3">
      <c r="A19" s="3" t="s">
        <v>9</v>
      </c>
      <c r="B19" s="6" t="str">
        <f>VLOOKUP(VLOOKUP(A19,A2:C12,2,0),E2:F12,2,0)</f>
        <v>Dr.Sharma</v>
      </c>
      <c r="E19" s="3" t="s">
        <v>13</v>
      </c>
      <c r="F19" s="6" t="str">
        <f>VLOOKUP(VLOOKUP(E19,E2:F12,2,0),H2:J12,3,0)</f>
        <v>Programming</v>
      </c>
      <c r="I19" s="3" t="s">
        <v>51</v>
      </c>
      <c r="J19" s="6">
        <f>VLOOKUP(VLOOKUP(I19,I2:J12,2,0),L2:N12,3,0)</f>
        <v>15</v>
      </c>
      <c r="L19" s="3" t="s">
        <v>9</v>
      </c>
      <c r="M19" s="6">
        <f>VLOOKUP(VLOOKUP(VLOOKUP(VLOOKUP(L19,A2:C12,2,0),E2:F12,2,0),H3:J12,3,0),L2:N12,3,0)</f>
        <v>22</v>
      </c>
      <c r="N19" s="1"/>
    </row>
    <row r="20" spans="1:14" x14ac:dyDescent="0.3">
      <c r="N20" s="1"/>
    </row>
    <row r="21" spans="1:14" x14ac:dyDescent="0.3">
      <c r="N21" s="1"/>
    </row>
    <row r="22" spans="1:14" x14ac:dyDescent="0.3">
      <c r="N22" s="1"/>
    </row>
  </sheetData>
  <mergeCells count="12">
    <mergeCell ref="I17:J17"/>
    <mergeCell ref="L16:V16"/>
    <mergeCell ref="L17:M17"/>
    <mergeCell ref="A1:C1"/>
    <mergeCell ref="E1:F1"/>
    <mergeCell ref="H1:J1"/>
    <mergeCell ref="L1:N1"/>
    <mergeCell ref="A16:C16"/>
    <mergeCell ref="A17:B17"/>
    <mergeCell ref="E16:G16"/>
    <mergeCell ref="E17:F17"/>
    <mergeCell ref="I16:J16"/>
  </mergeCells>
  <phoneticPr fontId="3" type="noConversion"/>
  <pageMargins left="0.7" right="0.7" top="0.75" bottom="0.75" header="0.3" footer="0.3"/>
  <pageSetup orientation="portrait" r:id="rId1"/>
  <headerFooter>
    <oddHeader>&amp;Ca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18B6-86F2-435A-8EC6-9C25DB3BD4FD}">
  <dimension ref="A1:Z19"/>
  <sheetViews>
    <sheetView tabSelected="1" workbookViewId="0">
      <selection activeCell="E25" sqref="E25"/>
    </sheetView>
  </sheetViews>
  <sheetFormatPr defaultRowHeight="14.4" x14ac:dyDescent="0.3"/>
  <cols>
    <col min="1" max="1" width="13.6640625" bestFit="1" customWidth="1"/>
    <col min="2" max="2" width="11.77734375" bestFit="1" customWidth="1"/>
    <col min="3" max="3" width="8.77734375" bestFit="1" customWidth="1"/>
    <col min="4" max="4" width="9.88671875" bestFit="1" customWidth="1"/>
    <col min="6" max="7" width="12.109375" bestFit="1" customWidth="1"/>
    <col min="8" max="8" width="11.77734375" bestFit="1" customWidth="1"/>
    <col min="9" max="10" width="14.88671875" bestFit="1" customWidth="1"/>
    <col min="11" max="11" width="14.5546875" bestFit="1" customWidth="1"/>
    <col min="12" max="12" width="15.88671875" bestFit="1" customWidth="1"/>
    <col min="13" max="13" width="12.6640625" bestFit="1" customWidth="1"/>
    <col min="14" max="14" width="15.88671875" customWidth="1"/>
    <col min="15" max="15" width="10.33203125" bestFit="1" customWidth="1"/>
    <col min="16" max="16" width="14.88671875" bestFit="1" customWidth="1"/>
    <col min="18" max="18" width="8.6640625" bestFit="1" customWidth="1"/>
    <col min="19" max="19" width="12.21875" bestFit="1" customWidth="1"/>
    <col min="20" max="20" width="9.77734375" bestFit="1" customWidth="1"/>
    <col min="21" max="21" width="10.5546875" bestFit="1" customWidth="1"/>
    <col min="22" max="22" width="11.44140625" bestFit="1" customWidth="1"/>
    <col min="23" max="23" width="14.5546875" bestFit="1" customWidth="1"/>
  </cols>
  <sheetData>
    <row r="1" spans="1:26" ht="16.2" customHeight="1" x14ac:dyDescent="0.3">
      <c r="A1" s="15" t="s">
        <v>2</v>
      </c>
      <c r="B1" s="15"/>
      <c r="C1" s="15"/>
      <c r="D1" s="15"/>
      <c r="E1" s="15"/>
      <c r="F1" s="15"/>
      <c r="G1" s="15"/>
      <c r="H1" s="15"/>
      <c r="I1" s="15"/>
      <c r="J1" s="15"/>
      <c r="K1" s="15"/>
      <c r="M1" s="15" t="s">
        <v>45</v>
      </c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6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6" x14ac:dyDescent="0.3">
      <c r="A3" s="5" t="s">
        <v>0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M3" s="5" t="s">
        <v>33</v>
      </c>
      <c r="N3" s="3" t="s">
        <v>35</v>
      </c>
      <c r="O3" s="3" t="s">
        <v>36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41</v>
      </c>
      <c r="U3" s="3" t="s">
        <v>42</v>
      </c>
      <c r="V3" s="3" t="s">
        <v>43</v>
      </c>
      <c r="W3" s="3" t="s">
        <v>44</v>
      </c>
    </row>
    <row r="4" spans="1:26" x14ac:dyDescent="0.3">
      <c r="A4" s="5" t="s">
        <v>32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M4" s="5" t="s">
        <v>46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56</v>
      </c>
      <c r="W4" s="3" t="s">
        <v>57</v>
      </c>
    </row>
    <row r="5" spans="1:26" x14ac:dyDescent="0.3">
      <c r="A5" s="5" t="s">
        <v>1</v>
      </c>
      <c r="B5" s="3" t="s">
        <v>23</v>
      </c>
      <c r="C5" s="3" t="s">
        <v>24</v>
      </c>
      <c r="D5" s="3" t="s">
        <v>23</v>
      </c>
      <c r="E5" s="3" t="s">
        <v>31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  <c r="M5" s="5" t="s">
        <v>47</v>
      </c>
      <c r="N5" s="3" t="s">
        <v>58</v>
      </c>
      <c r="O5" s="3" t="s">
        <v>59</v>
      </c>
      <c r="P5" s="3" t="s">
        <v>60</v>
      </c>
      <c r="Q5" s="3" t="s">
        <v>61</v>
      </c>
      <c r="R5" s="3" t="s">
        <v>62</v>
      </c>
      <c r="S5" s="3" t="s">
        <v>63</v>
      </c>
      <c r="T5" s="3" t="s">
        <v>64</v>
      </c>
      <c r="U5" s="3" t="s">
        <v>55</v>
      </c>
      <c r="V5" s="3" t="s">
        <v>65</v>
      </c>
      <c r="W5" s="3" t="s">
        <v>66</v>
      </c>
    </row>
    <row r="8" spans="1:26" ht="16.2" customHeight="1" x14ac:dyDescent="0.3">
      <c r="A8" s="15" t="s">
        <v>34</v>
      </c>
      <c r="B8" s="15"/>
      <c r="C8" s="15"/>
      <c r="D8" s="15"/>
      <c r="E8" s="15"/>
      <c r="F8" s="15"/>
      <c r="G8" s="15"/>
      <c r="H8" s="15"/>
      <c r="I8" s="15"/>
      <c r="J8" s="15"/>
      <c r="K8" s="15"/>
      <c r="M8" s="17" t="s">
        <v>67</v>
      </c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1:2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6" ht="18" x14ac:dyDescent="0.3">
      <c r="A10" s="5" t="s">
        <v>32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21</v>
      </c>
      <c r="K10" s="3" t="s">
        <v>22</v>
      </c>
      <c r="M10" s="5" t="s">
        <v>68</v>
      </c>
      <c r="N10" s="3" t="s">
        <v>58</v>
      </c>
      <c r="O10" s="3" t="s">
        <v>59</v>
      </c>
      <c r="P10" s="3" t="s">
        <v>60</v>
      </c>
      <c r="Q10" s="3" t="s">
        <v>61</v>
      </c>
      <c r="R10" s="3" t="s">
        <v>62</v>
      </c>
      <c r="S10" s="14" t="s">
        <v>63</v>
      </c>
      <c r="T10" s="3" t="s">
        <v>64</v>
      </c>
      <c r="U10" s="3" t="s">
        <v>55</v>
      </c>
      <c r="V10" s="3" t="s">
        <v>65</v>
      </c>
      <c r="W10" s="3" t="s">
        <v>66</v>
      </c>
    </row>
    <row r="11" spans="1:26" x14ac:dyDescent="0.3">
      <c r="A11" s="5" t="s">
        <v>33</v>
      </c>
      <c r="B11" s="3" t="s">
        <v>35</v>
      </c>
      <c r="C11" s="3" t="s">
        <v>36</v>
      </c>
      <c r="D11" s="3" t="s">
        <v>37</v>
      </c>
      <c r="E11" s="3" t="s">
        <v>38</v>
      </c>
      <c r="F11" s="3" t="s">
        <v>39</v>
      </c>
      <c r="G11" s="3" t="s">
        <v>40</v>
      </c>
      <c r="H11" s="3" t="s">
        <v>41</v>
      </c>
      <c r="I11" s="3" t="s">
        <v>42</v>
      </c>
      <c r="J11" s="3" t="s">
        <v>43</v>
      </c>
      <c r="K11" s="3" t="s">
        <v>44</v>
      </c>
      <c r="M11" s="5" t="s">
        <v>69</v>
      </c>
      <c r="N11" s="3">
        <v>4</v>
      </c>
      <c r="O11" s="3">
        <v>3</v>
      </c>
      <c r="P11" s="3">
        <v>5</v>
      </c>
      <c r="Q11" s="3">
        <v>4</v>
      </c>
      <c r="R11" s="3">
        <v>3</v>
      </c>
      <c r="S11" s="3">
        <v>5</v>
      </c>
      <c r="T11" s="3">
        <v>5</v>
      </c>
      <c r="U11" s="3">
        <v>3</v>
      </c>
      <c r="V11" s="3">
        <v>4</v>
      </c>
      <c r="W11" s="3">
        <v>3</v>
      </c>
    </row>
    <row r="12" spans="1:26" x14ac:dyDescent="0.3">
      <c r="M12" s="5" t="s">
        <v>70</v>
      </c>
      <c r="N12" s="3">
        <v>16</v>
      </c>
      <c r="O12" s="3">
        <v>12</v>
      </c>
      <c r="P12" s="3">
        <v>20</v>
      </c>
      <c r="Q12" s="3">
        <v>15</v>
      </c>
      <c r="R12" s="3">
        <v>28</v>
      </c>
      <c r="S12" s="3">
        <v>21</v>
      </c>
      <c r="T12" s="3">
        <v>22</v>
      </c>
      <c r="U12" s="3">
        <v>14</v>
      </c>
      <c r="V12" s="3">
        <v>16</v>
      </c>
      <c r="W12" s="3">
        <v>23</v>
      </c>
    </row>
    <row r="14" spans="1:26" ht="16.2" customHeight="1" x14ac:dyDescent="0.3"/>
    <row r="15" spans="1:26" ht="14.4" customHeight="1" x14ac:dyDescent="0.3"/>
    <row r="16" spans="1:26" x14ac:dyDescent="0.3">
      <c r="A16" s="19" t="s">
        <v>73</v>
      </c>
      <c r="B16" s="19"/>
      <c r="C16" s="19"/>
      <c r="D16" s="19"/>
      <c r="F16" s="13" t="s">
        <v>71</v>
      </c>
      <c r="G16" s="13"/>
      <c r="H16" s="13"/>
      <c r="I16" s="13"/>
      <c r="K16" s="13" t="s">
        <v>72</v>
      </c>
      <c r="L16" s="13"/>
      <c r="M16" s="13"/>
      <c r="N16" s="13"/>
      <c r="P16" s="12" t="s">
        <v>78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19" ht="19.8" x14ac:dyDescent="0.4">
      <c r="A17" s="27" t="s">
        <v>75</v>
      </c>
      <c r="B17" s="28"/>
      <c r="C17" s="28"/>
      <c r="D17" s="29"/>
      <c r="F17" s="27" t="s">
        <v>75</v>
      </c>
      <c r="G17" s="28"/>
      <c r="H17" s="28"/>
      <c r="I17" s="29"/>
      <c r="K17" s="27" t="s">
        <v>75</v>
      </c>
      <c r="L17" s="28"/>
      <c r="M17" s="28"/>
      <c r="N17" s="29"/>
      <c r="P17" s="11" t="s">
        <v>75</v>
      </c>
      <c r="Q17" s="11"/>
      <c r="R17" s="11"/>
      <c r="S17" s="11"/>
    </row>
    <row r="18" spans="1:19" x14ac:dyDescent="0.3">
      <c r="A18" s="5" t="s">
        <v>0</v>
      </c>
      <c r="B18" s="3" t="s">
        <v>3</v>
      </c>
      <c r="C18" s="3" t="s">
        <v>4</v>
      </c>
      <c r="D18" s="3" t="s">
        <v>5</v>
      </c>
      <c r="F18" s="5" t="s">
        <v>32</v>
      </c>
      <c r="G18" s="3" t="s">
        <v>13</v>
      </c>
      <c r="H18" s="3" t="s">
        <v>14</v>
      </c>
      <c r="I18" s="3" t="s">
        <v>15</v>
      </c>
      <c r="K18" s="5" t="s">
        <v>46</v>
      </c>
      <c r="L18" s="3" t="s">
        <v>48</v>
      </c>
      <c r="M18" s="3" t="s">
        <v>49</v>
      </c>
      <c r="N18" s="3" t="s">
        <v>50</v>
      </c>
      <c r="P18" s="5" t="s">
        <v>0</v>
      </c>
      <c r="Q18" s="3" t="s">
        <v>3</v>
      </c>
      <c r="R18" s="3" t="s">
        <v>4</v>
      </c>
      <c r="S18" s="3" t="s">
        <v>5</v>
      </c>
    </row>
    <row r="19" spans="1:19" x14ac:dyDescent="0.3">
      <c r="A19" s="5" t="s">
        <v>33</v>
      </c>
      <c r="B19" s="6" t="str">
        <f>HLOOKUP(HLOOKUP(B18,A3:K5,2,0),A10:K11,2,0)</f>
        <v>Dr.Verma</v>
      </c>
      <c r="C19" s="6" t="str">
        <f>HLOOKUP(HLOOKUP(C18,B3:L5,2,0),B10:L11,2,0)</f>
        <v>Dr.Patel</v>
      </c>
      <c r="D19" s="6" t="str">
        <f>HLOOKUP(HLOOKUP(D18,C3:M5,2,0),C10:M11,2,0)</f>
        <v>Dr.Joshi</v>
      </c>
      <c r="F19" s="5" t="s">
        <v>47</v>
      </c>
      <c r="G19" s="6" t="str">
        <f>HLOOKUP(HLOOKUP(G18,A10:K11,2,0),M3:W5,3,0)</f>
        <v>Programming</v>
      </c>
      <c r="H19" s="6" t="str">
        <f>HLOOKUP(HLOOKUP(H18,B10:L11,2,0),N3:X5,3,0)</f>
        <v>Circuits</v>
      </c>
      <c r="I19" s="6" t="str">
        <f>HLOOKUP(HLOOKUP(I18,C10:M11,2,0),O3:Y5,3,0)</f>
        <v>Thermodynamics</v>
      </c>
      <c r="K19" s="5" t="s">
        <v>70</v>
      </c>
      <c r="L19" s="6">
        <f>HLOOKUP(HLOOKUP(L18,M4:W5,2,0),M10:W12,3,0)</f>
        <v>16</v>
      </c>
      <c r="M19" s="6">
        <f>HLOOKUP(HLOOKUP(M18,N4:X5,2,0),N10:X12,3,0)</f>
        <v>12</v>
      </c>
      <c r="N19" s="6">
        <f>HLOOKUP(HLOOKUP(N18,O4:Y5,2,0),O10:Y12,3,0)</f>
        <v>20</v>
      </c>
      <c r="P19" s="5" t="s">
        <v>70</v>
      </c>
      <c r="Q19" s="6">
        <f>HLOOKUP(HLOOKUP(HLOOKUP(HLOOKUP(Q18,A3:K5,2,0),A10:K11,2,0),M3:W5,3,0),M10:W12,3,0)</f>
        <v>16</v>
      </c>
      <c r="R19" s="6">
        <f t="shared" ref="R19:S19" si="0">HLOOKUP(HLOOKUP(HLOOKUP(HLOOKUP(R18,B3:L5,2,0),B10:L11,2,0),N3:X5,3,0),N10:X12,3,0)</f>
        <v>12</v>
      </c>
      <c r="S19" s="6">
        <f t="shared" si="0"/>
        <v>20</v>
      </c>
    </row>
  </sheetData>
  <mergeCells count="12">
    <mergeCell ref="P17:S17"/>
    <mergeCell ref="P16:Z16"/>
    <mergeCell ref="A16:D16"/>
    <mergeCell ref="A17:D17"/>
    <mergeCell ref="F16:I16"/>
    <mergeCell ref="F17:I17"/>
    <mergeCell ref="K16:N16"/>
    <mergeCell ref="K17:N17"/>
    <mergeCell ref="A1:K2"/>
    <mergeCell ref="A8:K9"/>
    <mergeCell ref="M1:W2"/>
    <mergeCell ref="M8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Vikas</dc:creator>
  <cp:lastModifiedBy>Vikas Vikas</cp:lastModifiedBy>
  <dcterms:created xsi:type="dcterms:W3CDTF">2025-11-11T19:29:43Z</dcterms:created>
  <dcterms:modified xsi:type="dcterms:W3CDTF">2025-11-12T18:27:14Z</dcterms:modified>
</cp:coreProperties>
</file>