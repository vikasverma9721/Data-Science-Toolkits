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\"/>
    </mc:Choice>
  </mc:AlternateContent>
  <xr:revisionPtr revIDLastSave="0" documentId="8_{D85C6809-28DC-431A-9282-040E924F35F5}" xr6:coauthVersionLast="47" xr6:coauthVersionMax="47" xr10:uidLastSave="{00000000-0000-0000-0000-000000000000}"/>
  <bookViews>
    <workbookView xWindow="-108" yWindow="-108" windowWidth="23256" windowHeight="13176" xr2:uid="{B39F4F84-6A85-4016-8AB9-711B04796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H17" i="1" l="1"/>
  <c r="H6" i="1"/>
  <c r="I6" i="1" s="1"/>
  <c r="H18" i="1"/>
  <c r="I18" i="1" s="1"/>
  <c r="H11" i="1"/>
  <c r="I11" i="1" s="1"/>
  <c r="H16" i="1"/>
  <c r="I16" i="1" s="1"/>
  <c r="H15" i="1"/>
  <c r="I15" i="1" s="1"/>
  <c r="H13" i="1"/>
  <c r="H10" i="1"/>
  <c r="I10" i="1" s="1"/>
  <c r="H4" i="1"/>
  <c r="H12" i="1"/>
  <c r="I12" i="1" s="1"/>
  <c r="H9" i="1"/>
  <c r="I9" i="1" s="1"/>
  <c r="H14" i="1"/>
  <c r="I14" i="1" s="1"/>
  <c r="H8" i="1"/>
  <c r="I8" i="1" s="1"/>
  <c r="H7" i="1"/>
  <c r="I7" i="1" s="1"/>
  <c r="H5" i="1"/>
  <c r="I13" i="1" l="1"/>
  <c r="H20" i="1"/>
  <c r="H21" i="1"/>
  <c r="H19" i="1"/>
  <c r="I4" i="1"/>
  <c r="I17" i="1"/>
  <c r="I5" i="1"/>
</calcChain>
</file>

<file path=xl/sharedStrings.xml><?xml version="1.0" encoding="utf-8"?>
<sst xmlns="http://schemas.openxmlformats.org/spreadsheetml/2006/main" count="71" uniqueCount="56">
  <si>
    <t>Name</t>
  </si>
  <si>
    <t>Gender</t>
  </si>
  <si>
    <t>Email_id</t>
  </si>
  <si>
    <t>Hindi</t>
  </si>
  <si>
    <t>English</t>
  </si>
  <si>
    <t>Physics</t>
  </si>
  <si>
    <t>Chemistry</t>
  </si>
  <si>
    <t>Biology</t>
  </si>
  <si>
    <t>Total Marks</t>
  </si>
  <si>
    <t>Adesh</t>
  </si>
  <si>
    <t>Ram</t>
  </si>
  <si>
    <t>Rahul</t>
  </si>
  <si>
    <t>Vishal</t>
  </si>
  <si>
    <t>Seeta</t>
  </si>
  <si>
    <t>Priya</t>
  </si>
  <si>
    <t>Anshu</t>
  </si>
  <si>
    <t>Kamal</t>
  </si>
  <si>
    <t>Shiva</t>
  </si>
  <si>
    <t>Vineeta</t>
  </si>
  <si>
    <t>Rupa</t>
  </si>
  <si>
    <t>Kailash</t>
  </si>
  <si>
    <t>Muskan</t>
  </si>
  <si>
    <t>Pooja</t>
  </si>
  <si>
    <t>Adesh12@gmail.com</t>
  </si>
  <si>
    <t>Ram11@gmail.com</t>
  </si>
  <si>
    <t>Anshu12@gmail.com</t>
  </si>
  <si>
    <t>Rahul13@gmail.com</t>
  </si>
  <si>
    <t>Ankit14@gmail.com</t>
  </si>
  <si>
    <t>Vishal15@gmail.com</t>
  </si>
  <si>
    <t>Seeta16@gmail.com</t>
  </si>
  <si>
    <t>Priya17@gmail.com</t>
  </si>
  <si>
    <t>Kamal18@gmail.com</t>
  </si>
  <si>
    <t>Shiva19@gmail.com</t>
  </si>
  <si>
    <t>Prupa18@gmail.com</t>
  </si>
  <si>
    <t>Kailash12@gmail.com</t>
  </si>
  <si>
    <t>Muskan45@gmail.com</t>
  </si>
  <si>
    <t>Pooja20@gmail.com</t>
  </si>
  <si>
    <t>M</t>
  </si>
  <si>
    <t>F</t>
  </si>
  <si>
    <t>Percentage</t>
  </si>
  <si>
    <t>Average</t>
  </si>
  <si>
    <t>Marks Sheet (ClASS 10th)</t>
  </si>
  <si>
    <t xml:space="preserve"> </t>
  </si>
  <si>
    <t>Max Value</t>
  </si>
  <si>
    <t>Min Value</t>
  </si>
  <si>
    <t>Sum formula applied row no. 20</t>
  </si>
  <si>
    <t>Average formula applied row no. 21</t>
  </si>
  <si>
    <t>Max formula applied row no. 22</t>
  </si>
  <si>
    <t>Min formula applied row no. 23</t>
  </si>
  <si>
    <t>Format painter applied row no. 8</t>
  </si>
  <si>
    <t>Format painter applied row no.13</t>
  </si>
  <si>
    <t>Applied Merge &amp; Center row no. 1&amp;2</t>
  </si>
  <si>
    <t>Count</t>
  </si>
  <si>
    <t>Count formula applied row no. 22</t>
  </si>
  <si>
    <t>Applied Bold,Italic,Mid align, Center Column 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</si>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</sst>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1"/>
      <name val="Algerian"/>
      <family val="5"/>
    </font>
    <font>
      <b/>
      <i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  <xf numFmtId="0" fontId="5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3" borderId="2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14" fontId="6" fillId="3" borderId="1" xfId="1" applyNumberFormat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Explanatory Text" xfId="1" builtinId="5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720328</xdr:colOff>
      <xdr:row>17</xdr:row>
      <xdr:rowOff>130969</xdr:rowOff>
    </xdr:from>
    <xdr:to>
      <xdr:col>8</xdr:col>
      <xdr:colOff>785813</xdr:colOff>
      <xdr:row>19</xdr:row>
      <xdr:rowOff>83344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68CBA38-DA61-4C6C-816E-58806B73295A}"/>
            </a:ext>
          </a:extLst>
        </xdr:cNvPr>
        <xdr:cNvCxnSpPr/>
      </xdr:nvCxnSpPr>
      <xdr:spPr>
        <a:xfrm>
          <a:off x="5173266" y="3559969"/>
          <a:ext cx="90487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779859</xdr:colOff>
      <xdr:row>18</xdr:row>
      <xdr:rowOff>136922</xdr:rowOff>
    </xdr:from>
    <xdr:to>
      <xdr:col>8</xdr:col>
      <xdr:colOff>773906</xdr:colOff>
      <xdr:row>20</xdr:row>
      <xdr:rowOff>101203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1848DD7-916C-4C12-9E4F-37EF0B2F182F}"/>
            </a:ext>
          </a:extLst>
        </xdr:cNvPr>
        <xdr:cNvCxnSpPr/>
      </xdr:nvCxnSpPr>
      <xdr:spPr>
        <a:xfrm>
          <a:off x="5232797" y="3756422"/>
          <a:ext cx="833437" cy="3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785812</xdr:colOff>
      <xdr:row>19</xdr:row>
      <xdr:rowOff>130969</xdr:rowOff>
    </xdr:from>
    <xdr:to>
      <xdr:col>8</xdr:col>
      <xdr:colOff>767953</xdr:colOff>
      <xdr:row>21</xdr:row>
      <xdr:rowOff>107156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E3C2276-53CD-4A93-9FD1-133D3A484296}"/>
            </a:ext>
          </a:extLst>
        </xdr:cNvPr>
        <xdr:cNvCxnSpPr/>
      </xdr:nvCxnSpPr>
      <xdr:spPr>
        <a:xfrm>
          <a:off x="5238750" y="3940969"/>
          <a:ext cx="821531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779859</xdr:colOff>
      <xdr:row>20</xdr:row>
      <xdr:rowOff>136922</xdr:rowOff>
    </xdr:from>
    <xdr:to>
      <xdr:col>8</xdr:col>
      <xdr:colOff>767953</xdr:colOff>
      <xdr:row>22</xdr:row>
      <xdr:rowOff>125016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67EB5B4-7F6C-4D5E-8B26-B9DF98F51240}"/>
            </a:ext>
          </a:extLst>
        </xdr:cNvPr>
        <xdr:cNvCxnSpPr/>
      </xdr:nvCxnSpPr>
      <xdr:spPr>
        <a:xfrm>
          <a:off x="5232797" y="4137422"/>
          <a:ext cx="827484" cy="3690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1404938</xdr:colOff>
      <xdr:row>7</xdr:row>
      <xdr:rowOff>101203</xdr:rowOff>
    </xdr:from>
    <xdr:to>
      <xdr:col>11</xdr:col>
      <xdr:colOff>869156</xdr:colOff>
      <xdr:row>7</xdr:row>
      <xdr:rowOff>107156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09661D8-5E1C-48E7-9B1A-D549D1F1658F}"/>
            </a:ext>
          </a:extLst>
        </xdr:cNvPr>
        <xdr:cNvCxnSpPr/>
      </xdr:nvCxnSpPr>
      <xdr:spPr>
        <a:xfrm>
          <a:off x="9471422" y="1625203"/>
          <a:ext cx="875109" cy="5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</xdr:colOff>
      <xdr:row>12</xdr:row>
      <xdr:rowOff>77391</xdr:rowOff>
    </xdr:from>
    <xdr:to>
      <xdr:col>11</xdr:col>
      <xdr:colOff>887016</xdr:colOff>
      <xdr:row>12</xdr:row>
      <xdr:rowOff>95250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194902F-90DC-4647-B78A-3331947E86A5}"/>
            </a:ext>
          </a:extLst>
        </xdr:cNvPr>
        <xdr:cNvCxnSpPr/>
      </xdr:nvCxnSpPr>
      <xdr:spPr>
        <a:xfrm>
          <a:off x="9495234" y="2553891"/>
          <a:ext cx="869157" cy="17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41672</xdr:colOff>
      <xdr:row>0</xdr:row>
      <xdr:rowOff>95250</xdr:rowOff>
    </xdr:from>
    <xdr:to>
      <xdr:col>11</xdr:col>
      <xdr:colOff>845344</xdr:colOff>
      <xdr:row>0</xdr:row>
      <xdr:rowOff>101203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4056DB-4E15-4AA2-9C9A-BF4DA4400F5D}"/>
            </a:ext>
          </a:extLst>
        </xdr:cNvPr>
        <xdr:cNvCxnSpPr/>
      </xdr:nvCxnSpPr>
      <xdr:spPr>
        <a:xfrm>
          <a:off x="9519047" y="95250"/>
          <a:ext cx="803672" cy="5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321468</xdr:colOff>
      <xdr:row>18</xdr:row>
      <xdr:rowOff>136922</xdr:rowOff>
    </xdr:from>
    <xdr:to>
      <xdr:col>2</xdr:col>
      <xdr:colOff>321468</xdr:colOff>
      <xdr:row>20</xdr:row>
      <xdr:rowOff>160734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3D5BA77-5CFB-47C3-9DB7-2ABB62F561B0}"/>
            </a:ext>
          </a:extLst>
        </xdr:cNvPr>
        <xdr:cNvCxnSpPr/>
      </xdr:nvCxnSpPr>
      <xdr:spPr>
        <a:xfrm>
          <a:off x="1535906" y="3565922"/>
          <a:ext cx="0" cy="40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267891</xdr:colOff>
      <xdr:row>17</xdr:row>
      <xdr:rowOff>136922</xdr:rowOff>
    </xdr:from>
    <xdr:to>
      <xdr:col>0</xdr:col>
      <xdr:colOff>470297</xdr:colOff>
      <xdr:row>23</xdr:row>
      <xdr:rowOff>160734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E491DD87-84D5-4886-849F-83A020F1E3D1}"/>
            </a:ext>
          </a:extLst>
        </xdr:cNvPr>
        <xdr:cNvCxnSpPr/>
      </xdr:nvCxnSpPr>
      <xdr:spPr>
        <a:xfrm rot="5400000">
          <a:off x="-214312" y="3857625"/>
          <a:ext cx="1166812" cy="20240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075ED-3FEF-42A5-8CA3-7C3B66BF5A26}" name="Table1" displayName="Table1" ref="A3:K18" totalsRowShown="0" headerRowDxfId="25" dataDxfId="23" headerRowBorderDxfId="24" tableBorderDxfId="22" totalsRowBorderDxfId="21" dataCellStyle="Explanatory Text">
  <autoFilter ref="A3:K18" xr:uid="{4B660E58-40DD-4079-A459-F301309DEC54}"/>
  <tableColumns count="11">
    <tableColumn id="1" xr3:uid="{0AFC885E-6592-4C25-9876-07D7F57B698C}" name="Name" dataDxfId="20" dataCellStyle="Explanatory Text"/>
    <tableColumn id="2" xr3:uid="{7302B1B9-2415-4623-9A3F-3086A9CC9D8B}" name="Gender" dataDxfId="19" dataCellStyle="Explanatory Text"/>
    <tableColumn id="3" xr3:uid="{FAFF3466-C0B0-44FF-BF64-783F0E2C6A4C}" name="Hindi" dataDxfId="18" dataCellStyle="Explanatory Text"/>
    <tableColumn id="4" xr3:uid="{8A0C773B-D719-40BD-B266-F7040C9AD386}" name="English" dataDxfId="17" dataCellStyle="Explanatory Text"/>
    <tableColumn id="5" xr3:uid="{54C6272E-DCF6-43FA-8F4D-DF4FBDEF7CE4}" name="Physics" dataDxfId="16" dataCellStyle="Explanatory Text"/>
    <tableColumn id="6" xr3:uid="{ACEE2C88-E95C-4BFA-B1F0-66A94D26EE05}" name="Chemistry" dataDxfId="15" dataCellStyle="Explanatory Text"/>
    <tableColumn id="7" xr3:uid="{C4CB055F-F6EE-4706-A299-01CDD647F17B}" name="Biology" dataDxfId="14" dataCellStyle="Explanatory Text"/>
    <tableColumn id="8" xr3:uid="{FAF9776C-3409-4029-8199-E96156F166EA}" name="Total Marks" dataDxfId="13" dataCellStyle="Explanatory Text">
      <calculatedColumnFormula>SUM(C4:G4)</calculatedColumnFormula>
    </tableColumn>
    <tableColumn id="9" xr3:uid="{616BA588-6EB7-4061-BA0C-A72234CE1BEA}" name="Percentage" dataDxfId="12" dataCellStyle="Explanatory Text">
      <calculatedColumnFormula>H4/5</calculatedColumnFormula>
    </tableColumn>
    <tableColumn id="10" xr3:uid="{3C95C5A3-112E-429F-8C52-8221338EBBB2}" name="Column1" dataDxfId="11" dataCellStyle="Explanatory Text"/>
    <tableColumn id="11" xr3:uid="{DDDBD089-3A6F-4842-BC1C-B9E54F91E479}" name="Email_id" dataDxfId="10" dataCellStyle="Explanatory Tex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468C-47EC-487F-A1C3-A14C77F601BF}">
  <dimension ref="A1:R36"/>
  <sheetViews>
    <sheetView tabSelected="1" zoomScale="160" zoomScaleNormal="160" workbookViewId="0">
      <selection activeCell="J4" sqref="J4"/>
    </sheetView>
  </sheetViews>
  <sheetFormatPr defaultRowHeight="14.4" x14ac:dyDescent="0.3"/>
  <cols>
    <col min="2" max="2" width="9.109375" customWidth="1"/>
    <col min="4" max="4" width="11.5546875" customWidth="1"/>
    <col min="5" max="5" width="9" customWidth="1"/>
    <col min="6" max="6" width="10.88671875" customWidth="1"/>
    <col min="7" max="7" width="10.44140625" customWidth="1"/>
    <col min="8" max="8" width="12.5546875" customWidth="1"/>
    <col min="9" max="9" width="11.88671875" customWidth="1"/>
    <col min="10" max="10" width="30.5546875" customWidth="1"/>
    <col min="11" max="11" width="21.109375" bestFit="1" customWidth="1"/>
    <col min="12" max="12" width="13.5546875" customWidth="1"/>
    <col min="15" max="15" width="10" customWidth="1"/>
    <col min="16" max="16" width="11.109375" bestFit="1" customWidth="1"/>
  </cols>
  <sheetData>
    <row r="1" spans="1:18" ht="15" customHeight="1" x14ac:dyDescent="0.7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4"/>
      <c r="M1" s="22" t="s">
        <v>51</v>
      </c>
      <c r="N1" s="22"/>
      <c r="O1" s="22"/>
      <c r="P1" s="22"/>
      <c r="Q1" s="4"/>
      <c r="R1" s="4"/>
    </row>
    <row r="2" spans="1:18" ht="15" customHeight="1" x14ac:dyDescent="0.7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4"/>
      <c r="M2" s="4"/>
      <c r="N2" s="4"/>
      <c r="O2" s="4"/>
      <c r="P2" s="4"/>
      <c r="Q2" s="4"/>
      <c r="R2" s="4"/>
    </row>
    <row r="3" spans="1:18" x14ac:dyDescent="0.3">
      <c r="A3" s="17" t="s">
        <v>0</v>
      </c>
      <c r="B3" s="18" t="s">
        <v>1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39</v>
      </c>
      <c r="J3" s="18" t="s">
        <v>55</v>
      </c>
      <c r="K3" s="19" t="s">
        <v>2</v>
      </c>
      <c r="L3" s="12"/>
    </row>
    <row r="4" spans="1:18" x14ac:dyDescent="0.3">
      <c r="A4" s="5" t="s">
        <v>9</v>
      </c>
      <c r="B4" s="6" t="s">
        <v>37</v>
      </c>
      <c r="C4" s="6">
        <v>41</v>
      </c>
      <c r="D4" s="6">
        <v>88</v>
      </c>
      <c r="E4" s="6">
        <v>40</v>
      </c>
      <c r="F4" s="6">
        <v>74</v>
      </c>
      <c r="G4" s="6">
        <v>55</v>
      </c>
      <c r="H4" s="6">
        <f>SUM(C4:G4)</f>
        <v>298</v>
      </c>
      <c r="I4" s="6">
        <f>H4/5</f>
        <v>59.6</v>
      </c>
      <c r="J4" s="7">
        <v>45910</v>
      </c>
      <c r="K4" s="8" t="s">
        <v>23</v>
      </c>
      <c r="Q4" s="1"/>
      <c r="R4" s="1"/>
    </row>
    <row r="5" spans="1:18" x14ac:dyDescent="0.3">
      <c r="A5" s="5" t="s">
        <v>10</v>
      </c>
      <c r="B5" s="6" t="s">
        <v>37</v>
      </c>
      <c r="C5" s="6">
        <v>38</v>
      </c>
      <c r="D5" s="6">
        <v>50</v>
      </c>
      <c r="E5" s="6">
        <v>34</v>
      </c>
      <c r="F5" s="6">
        <v>45</v>
      </c>
      <c r="G5" s="6">
        <v>51</v>
      </c>
      <c r="H5" s="6">
        <f t="shared" ref="H5:H18" si="0">SUM(C5:G5)</f>
        <v>218</v>
      </c>
      <c r="I5" s="6">
        <f t="shared" ref="I5:I18" si="1">H5/5</f>
        <v>43.6</v>
      </c>
      <c r="J5" s="7">
        <v>45911</v>
      </c>
      <c r="K5" s="8" t="s">
        <v>24</v>
      </c>
      <c r="Q5" s="1"/>
      <c r="R5" s="1"/>
    </row>
    <row r="6" spans="1:18" x14ac:dyDescent="0.3">
      <c r="A6" s="5" t="s">
        <v>15</v>
      </c>
      <c r="B6" s="6" t="s">
        <v>38</v>
      </c>
      <c r="C6" s="6">
        <v>72</v>
      </c>
      <c r="D6" s="6">
        <v>70</v>
      </c>
      <c r="E6" s="6">
        <v>33</v>
      </c>
      <c r="F6" s="6">
        <v>58</v>
      </c>
      <c r="G6" s="6">
        <v>33</v>
      </c>
      <c r="H6" s="6">
        <f t="shared" si="0"/>
        <v>266</v>
      </c>
      <c r="I6" s="6">
        <f t="shared" si="1"/>
        <v>53.2</v>
      </c>
      <c r="J6" s="7">
        <v>45912</v>
      </c>
      <c r="K6" s="8" t="s">
        <v>25</v>
      </c>
      <c r="Q6" s="1"/>
      <c r="R6" s="1"/>
    </row>
    <row r="7" spans="1:18" x14ac:dyDescent="0.3">
      <c r="A7" s="5" t="s">
        <v>11</v>
      </c>
      <c r="B7" s="6" t="s">
        <v>37</v>
      </c>
      <c r="C7" s="6">
        <v>44</v>
      </c>
      <c r="D7" s="6">
        <v>80</v>
      </c>
      <c r="E7" s="6">
        <v>98</v>
      </c>
      <c r="F7" s="6">
        <v>93</v>
      </c>
      <c r="G7" s="6">
        <v>68</v>
      </c>
      <c r="H7" s="6">
        <f t="shared" si="0"/>
        <v>383</v>
      </c>
      <c r="I7" s="6">
        <f t="shared" si="1"/>
        <v>76.599999999999994</v>
      </c>
      <c r="J7" s="7">
        <v>45913</v>
      </c>
      <c r="K7" s="8" t="s">
        <v>26</v>
      </c>
      <c r="Q7" s="1"/>
      <c r="R7" s="1"/>
    </row>
    <row r="8" spans="1:18" x14ac:dyDescent="0.3">
      <c r="A8" s="13" t="s">
        <v>17</v>
      </c>
      <c r="B8" s="14" t="s">
        <v>37</v>
      </c>
      <c r="C8" s="14">
        <v>69</v>
      </c>
      <c r="D8" s="14">
        <v>81</v>
      </c>
      <c r="E8" s="14">
        <v>40</v>
      </c>
      <c r="F8" s="14">
        <v>75</v>
      </c>
      <c r="G8" s="14">
        <v>98</v>
      </c>
      <c r="H8" s="14">
        <f t="shared" si="0"/>
        <v>363</v>
      </c>
      <c r="I8" s="14">
        <f t="shared" si="1"/>
        <v>72.599999999999994</v>
      </c>
      <c r="J8" s="15">
        <v>45914</v>
      </c>
      <c r="K8" s="16" t="s">
        <v>27</v>
      </c>
      <c r="M8" s="20" t="s">
        <v>49</v>
      </c>
      <c r="N8" s="20"/>
      <c r="O8" s="20"/>
      <c r="Q8" s="1"/>
      <c r="R8" s="1"/>
    </row>
    <row r="9" spans="1:18" x14ac:dyDescent="0.3">
      <c r="A9" s="5" t="s">
        <v>12</v>
      </c>
      <c r="B9" s="6" t="s">
        <v>37</v>
      </c>
      <c r="C9" s="6">
        <v>41</v>
      </c>
      <c r="D9" s="6">
        <v>62</v>
      </c>
      <c r="E9" s="6">
        <v>93</v>
      </c>
      <c r="F9" s="6">
        <v>64</v>
      </c>
      <c r="G9" s="6">
        <v>47</v>
      </c>
      <c r="H9" s="6">
        <f t="shared" si="0"/>
        <v>307</v>
      </c>
      <c r="I9" s="6">
        <f t="shared" si="1"/>
        <v>61.4</v>
      </c>
      <c r="J9" s="7">
        <v>45915</v>
      </c>
      <c r="K9" s="8" t="s">
        <v>28</v>
      </c>
      <c r="Q9" s="1"/>
      <c r="R9" s="1"/>
    </row>
    <row r="10" spans="1:18" x14ac:dyDescent="0.3">
      <c r="A10" s="5" t="s">
        <v>13</v>
      </c>
      <c r="B10" s="6" t="s">
        <v>38</v>
      </c>
      <c r="C10" s="6">
        <v>86</v>
      </c>
      <c r="D10" s="6">
        <v>98</v>
      </c>
      <c r="E10" s="6">
        <v>71</v>
      </c>
      <c r="F10" s="6">
        <v>39</v>
      </c>
      <c r="G10" s="6">
        <v>33</v>
      </c>
      <c r="H10" s="6">
        <f t="shared" si="0"/>
        <v>327</v>
      </c>
      <c r="I10" s="6">
        <f t="shared" si="1"/>
        <v>65.400000000000006</v>
      </c>
      <c r="J10" s="7">
        <v>45916</v>
      </c>
      <c r="K10" s="8" t="s">
        <v>29</v>
      </c>
      <c r="Q10" s="1"/>
      <c r="R10" s="1"/>
    </row>
    <row r="11" spans="1:18" x14ac:dyDescent="0.3">
      <c r="A11" s="5" t="s">
        <v>14</v>
      </c>
      <c r="B11" s="6" t="s">
        <v>38</v>
      </c>
      <c r="C11" s="6">
        <v>55</v>
      </c>
      <c r="D11" s="6">
        <v>75</v>
      </c>
      <c r="E11" s="6">
        <v>98</v>
      </c>
      <c r="F11" s="6">
        <v>41</v>
      </c>
      <c r="G11" s="6">
        <v>96</v>
      </c>
      <c r="H11" s="6">
        <f t="shared" si="0"/>
        <v>365</v>
      </c>
      <c r="I11" s="6">
        <f t="shared" si="1"/>
        <v>73</v>
      </c>
      <c r="J11" s="7">
        <v>45917</v>
      </c>
      <c r="K11" s="8" t="s">
        <v>30</v>
      </c>
      <c r="Q11" s="1"/>
      <c r="R11" s="1"/>
    </row>
    <row r="12" spans="1:18" x14ac:dyDescent="0.3">
      <c r="A12" s="5" t="s">
        <v>16</v>
      </c>
      <c r="B12" s="6" t="s">
        <v>37</v>
      </c>
      <c r="C12" s="6">
        <v>74</v>
      </c>
      <c r="D12" s="6">
        <v>71</v>
      </c>
      <c r="E12" s="6">
        <v>88</v>
      </c>
      <c r="F12" s="6">
        <v>83</v>
      </c>
      <c r="G12" s="6">
        <v>75</v>
      </c>
      <c r="H12" s="6">
        <f t="shared" si="0"/>
        <v>391</v>
      </c>
      <c r="I12" s="6">
        <f t="shared" si="1"/>
        <v>78.2</v>
      </c>
      <c r="J12" s="7">
        <v>45918</v>
      </c>
      <c r="K12" s="8" t="s">
        <v>31</v>
      </c>
      <c r="Q12" s="1"/>
      <c r="R12" s="1"/>
    </row>
    <row r="13" spans="1:18" x14ac:dyDescent="0.3">
      <c r="A13" s="13" t="s">
        <v>17</v>
      </c>
      <c r="B13" s="14" t="s">
        <v>37</v>
      </c>
      <c r="C13" s="14">
        <v>91</v>
      </c>
      <c r="D13" s="14">
        <v>33</v>
      </c>
      <c r="E13" s="14">
        <v>78</v>
      </c>
      <c r="F13" s="14">
        <v>62</v>
      </c>
      <c r="G13" s="14">
        <v>83</v>
      </c>
      <c r="H13" s="14">
        <f t="shared" si="0"/>
        <v>347</v>
      </c>
      <c r="I13" s="14">
        <f t="shared" si="1"/>
        <v>69.400000000000006</v>
      </c>
      <c r="J13" s="15">
        <v>45919</v>
      </c>
      <c r="K13" s="16" t="s">
        <v>32</v>
      </c>
      <c r="M13" s="20" t="s">
        <v>50</v>
      </c>
      <c r="N13" s="20"/>
      <c r="O13" s="20"/>
      <c r="Q13" s="1"/>
      <c r="R13" s="1"/>
    </row>
    <row r="14" spans="1:18" x14ac:dyDescent="0.3">
      <c r="A14" s="5" t="s">
        <v>18</v>
      </c>
      <c r="B14" s="6" t="s">
        <v>38</v>
      </c>
      <c r="C14" s="6">
        <v>97</v>
      </c>
      <c r="D14" s="6">
        <v>37</v>
      </c>
      <c r="E14" s="6">
        <v>93</v>
      </c>
      <c r="F14" s="6">
        <v>37</v>
      </c>
      <c r="G14" s="6">
        <v>58</v>
      </c>
      <c r="H14" s="6">
        <f t="shared" si="0"/>
        <v>322</v>
      </c>
      <c r="I14" s="6">
        <f t="shared" si="1"/>
        <v>64.400000000000006</v>
      </c>
      <c r="J14" s="7">
        <v>45920</v>
      </c>
      <c r="K14" s="8" t="s">
        <v>28</v>
      </c>
      <c r="Q14" s="1"/>
      <c r="R14" s="1"/>
    </row>
    <row r="15" spans="1:18" x14ac:dyDescent="0.3">
      <c r="A15" s="5" t="s">
        <v>19</v>
      </c>
      <c r="B15" s="6" t="s">
        <v>38</v>
      </c>
      <c r="C15" s="6">
        <v>60</v>
      </c>
      <c r="D15" s="6">
        <v>39</v>
      </c>
      <c r="E15" s="6">
        <v>35</v>
      </c>
      <c r="F15" s="6">
        <v>83</v>
      </c>
      <c r="G15" s="6">
        <v>60</v>
      </c>
      <c r="H15" s="6">
        <f t="shared" si="0"/>
        <v>277</v>
      </c>
      <c r="I15" s="6">
        <f t="shared" si="1"/>
        <v>55.4</v>
      </c>
      <c r="J15" s="7">
        <v>45921</v>
      </c>
      <c r="K15" s="8" t="s">
        <v>33</v>
      </c>
      <c r="Q15" s="1"/>
      <c r="R15" s="1"/>
    </row>
    <row r="16" spans="1:18" x14ac:dyDescent="0.3">
      <c r="A16" s="5" t="s">
        <v>20</v>
      </c>
      <c r="B16" s="6" t="s">
        <v>37</v>
      </c>
      <c r="C16" s="6">
        <v>81</v>
      </c>
      <c r="D16" s="6">
        <v>53</v>
      </c>
      <c r="E16" s="6">
        <v>51</v>
      </c>
      <c r="F16" s="6">
        <v>71</v>
      </c>
      <c r="G16" s="6">
        <v>78</v>
      </c>
      <c r="H16" s="6">
        <f t="shared" si="0"/>
        <v>334</v>
      </c>
      <c r="I16" s="6">
        <f t="shared" si="1"/>
        <v>66.8</v>
      </c>
      <c r="J16" s="7">
        <v>45922</v>
      </c>
      <c r="K16" s="8" t="s">
        <v>34</v>
      </c>
      <c r="Q16" s="1"/>
      <c r="R16" s="1"/>
    </row>
    <row r="17" spans="1:18" x14ac:dyDescent="0.3">
      <c r="A17" s="5" t="s">
        <v>21</v>
      </c>
      <c r="B17" s="6" t="s">
        <v>38</v>
      </c>
      <c r="C17" s="6">
        <v>55</v>
      </c>
      <c r="D17" s="6">
        <v>36</v>
      </c>
      <c r="E17" s="6">
        <v>87</v>
      </c>
      <c r="F17" s="6">
        <v>94</v>
      </c>
      <c r="G17" s="6">
        <v>85</v>
      </c>
      <c r="H17" s="6">
        <f t="shared" si="0"/>
        <v>357</v>
      </c>
      <c r="I17" s="6">
        <f t="shared" si="1"/>
        <v>71.400000000000006</v>
      </c>
      <c r="J17" s="7">
        <v>45923</v>
      </c>
      <c r="K17" s="8" t="s">
        <v>35</v>
      </c>
      <c r="Q17" s="1"/>
      <c r="R17" s="1"/>
    </row>
    <row r="18" spans="1:18" x14ac:dyDescent="0.3">
      <c r="A18" s="9" t="s">
        <v>22</v>
      </c>
      <c r="B18" s="10" t="s">
        <v>38</v>
      </c>
      <c r="C18" s="10">
        <v>79</v>
      </c>
      <c r="D18" s="10">
        <v>65</v>
      </c>
      <c r="E18" s="10">
        <v>59</v>
      </c>
      <c r="F18" s="10">
        <v>37</v>
      </c>
      <c r="G18" s="10">
        <v>40</v>
      </c>
      <c r="H18" s="10">
        <f t="shared" si="0"/>
        <v>280</v>
      </c>
      <c r="I18" s="10">
        <f t="shared" si="1"/>
        <v>56</v>
      </c>
      <c r="J18" s="7">
        <v>45924</v>
      </c>
      <c r="K18" s="11" t="s">
        <v>36</v>
      </c>
      <c r="Q18" s="1"/>
      <c r="R18" s="1"/>
    </row>
    <row r="19" spans="1:18" x14ac:dyDescent="0.3">
      <c r="A19" s="2"/>
      <c r="B19" s="2" t="s">
        <v>52</v>
      </c>
      <c r="C19" s="2">
        <f>COUNT(Table1[Hindi])</f>
        <v>15</v>
      </c>
      <c r="D19" s="2"/>
      <c r="E19" s="2"/>
      <c r="F19" s="3"/>
      <c r="G19" s="2" t="s">
        <v>40</v>
      </c>
      <c r="H19" s="2">
        <f>AVERAGE(H4:H18)</f>
        <v>322.33333333333331</v>
      </c>
      <c r="I19" s="2"/>
      <c r="J19" s="2"/>
      <c r="K19" s="2"/>
    </row>
    <row r="20" spans="1:18" x14ac:dyDescent="0.3">
      <c r="B20" t="s">
        <v>42</v>
      </c>
      <c r="G20" t="s">
        <v>43</v>
      </c>
      <c r="H20">
        <f>MAX(Table1[Total Marks])</f>
        <v>391</v>
      </c>
      <c r="J20" t="s">
        <v>45</v>
      </c>
    </row>
    <row r="21" spans="1:18" x14ac:dyDescent="0.3">
      <c r="G21" t="s">
        <v>44</v>
      </c>
      <c r="H21">
        <f>MIN(Table1[Total Marks])</f>
        <v>218</v>
      </c>
      <c r="J21" t="s">
        <v>46</v>
      </c>
    </row>
    <row r="22" spans="1:18" x14ac:dyDescent="0.3">
      <c r="B22" s="20" t="s">
        <v>53</v>
      </c>
      <c r="C22" s="20"/>
      <c r="D22" s="20"/>
      <c r="J22" t="s">
        <v>47</v>
      </c>
      <c r="K22" s="1"/>
      <c r="L22" s="1"/>
    </row>
    <row r="23" spans="1:18" x14ac:dyDescent="0.3">
      <c r="J23" t="s">
        <v>48</v>
      </c>
      <c r="K23" s="1"/>
      <c r="L23" s="1"/>
    </row>
    <row r="24" spans="1:18" x14ac:dyDescent="0.3">
      <c r="K24" s="1"/>
      <c r="L24" s="1"/>
    </row>
    <row r="25" spans="1:18" x14ac:dyDescent="0.3">
      <c r="A25" s="20" t="s">
        <v>54</v>
      </c>
      <c r="B25" s="20"/>
      <c r="C25" s="20"/>
      <c r="D25" s="20"/>
      <c r="K25" s="1"/>
      <c r="L25" s="1"/>
    </row>
    <row r="26" spans="1:18" x14ac:dyDescent="0.3">
      <c r="K26" s="1"/>
      <c r="L26" s="1"/>
    </row>
    <row r="27" spans="1:18" x14ac:dyDescent="0.3">
      <c r="K27" s="1"/>
      <c r="L27" s="1"/>
    </row>
    <row r="28" spans="1:18" x14ac:dyDescent="0.3">
      <c r="K28" s="1"/>
      <c r="L28" s="1"/>
    </row>
    <row r="29" spans="1:18" x14ac:dyDescent="0.3">
      <c r="K29" s="1"/>
      <c r="L29" s="1"/>
    </row>
    <row r="30" spans="1:18" x14ac:dyDescent="0.3">
      <c r="E30" s="12"/>
      <c r="K30" s="1"/>
      <c r="L30" s="1"/>
    </row>
    <row r="31" spans="1:18" x14ac:dyDescent="0.3">
      <c r="K31" s="1"/>
      <c r="L31" s="1"/>
    </row>
    <row r="32" spans="1:18" x14ac:dyDescent="0.3">
      <c r="K32" s="1"/>
      <c r="L32" s="1"/>
    </row>
    <row r="33" spans="11:12" x14ac:dyDescent="0.3">
      <c r="K33" s="1"/>
      <c r="L33" s="1"/>
    </row>
    <row r="34" spans="11:12" x14ac:dyDescent="0.3">
      <c r="K34" s="1"/>
      <c r="L34" s="1"/>
    </row>
    <row r="35" spans="11:12" x14ac:dyDescent="0.3">
      <c r="K35" s="1"/>
      <c r="L35" s="1"/>
    </row>
    <row r="36" spans="11:12" x14ac:dyDescent="0.3">
      <c r="K36" s="1"/>
      <c r="L36" s="1"/>
    </row>
  </sheetData>
  <mergeCells count="6">
    <mergeCell ref="B22:D22"/>
    <mergeCell ref="A25:D25"/>
    <mergeCell ref="A1:K2"/>
    <mergeCell ref="M8:O8"/>
    <mergeCell ref="M13:O13"/>
    <mergeCell ref="M1:P1"/>
  </mergeCells>
  <conditionalFormatting sqref="C4:G12 C14:G18">
    <cfRule type="colorScale" priority="18">
      <colorScale>
        <cfvo type="min"/>
        <cfvo type="max"/>
        <color rgb="FFFCFCFF"/>
        <color rgb="FF63BE7B"/>
      </colorScale>
    </cfRule>
  </conditionalFormatting>
  <conditionalFormatting sqref="C13:G13">
    <cfRule type="colorScale" priority="6">
      <colorScale>
        <cfvo type="min"/>
        <cfvo type="max"/>
        <color rgb="FFFCFCFF"/>
        <color rgb="FF63BE7B"/>
      </colorScale>
    </cfRule>
  </conditionalFormatting>
  <conditionalFormatting sqref="H4:H12 H14:H18">
    <cfRule type="top10" dxfId="9" priority="22" rank="10"/>
  </conditionalFormatting>
  <conditionalFormatting sqref="H4:H18">
    <cfRule type="cellIs" dxfId="8" priority="2" operator="between">
      <formula>261</formula>
      <formula>300</formula>
    </cfRule>
    <cfRule type="cellIs" dxfId="7" priority="3" operator="greaterThan">
      <formula>350</formula>
    </cfRule>
    <cfRule type="cellIs" dxfId="6" priority="4" operator="greaterThan">
      <formula>360</formula>
    </cfRule>
    <cfRule type="cellIs" dxfId="5" priority="7" operator="greaterThan">
      <formula>349</formula>
    </cfRule>
    <cfRule type="cellIs" dxfId="4" priority="8" operator="greaterThan">
      <formula>304.5</formula>
    </cfRule>
  </conditionalFormatting>
  <conditionalFormatting sqref="H13">
    <cfRule type="top10" dxfId="3" priority="10" rank="10"/>
  </conditionalFormatting>
  <conditionalFormatting sqref="I4:I12 I14:I1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{52626382-FFBE-4F4B-8DF4-6570F928D285}</x14:id>
        </ext>
      </extLst>
    </cfRule>
  </conditionalFormatting>
  <conditionalFormatting sqref="I1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{61CCE99C-1C0A-419A-8441-4E148DFB3903}</x14:id>
        </ext>
      </extLst>
    </cfRule>
  </conditionalFormatting>
  <conditionalFormatting sqref="J4:J12 J14:J1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timePeriod" dxfId="2" priority="24" timePeriod="yesterday">
      <formula>FLOOR(J4,1)=TODAY()-1</formula>
    </cfRule>
  </conditionalFormatting>
  <conditionalFormatting sqref="J4:J18">
    <cfRule type="timePeriod" dxfId="1" priority="1" timePeriod="last7Days">
      <formula>AND(TODAY()-FLOOR(J4,1)&lt;=6,FLOOR(J4,1)&lt;=TODAY())</formula>
    </cfRule>
  </conditionalFormatting>
  <conditionalFormatting sqref="J13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timePeriod" dxfId="0" priority="12" timePeriod="yesterday">
      <formula>FLOOR(J13,1)=TODAY()-1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626382-FFBE-4F4B-8DF4-6570F928D2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I4:I12 I14:I18</xm:sqref>
        </x14:conditionalFormatting>
        <x14:conditionalFormatting xmlns:xm="http://schemas.microsoft.com/office/excel/2006/main">
          <x14:cfRule type="dataBar" id="{61CCE99C-1C0A-419A-8441-4E148DFB3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Vikas Vikas</cp:lastModifiedBy>
  <dcterms:created xsi:type="dcterms:W3CDTF">2025-09-11T05:50:01Z</dcterms:created>
  <dcterms:modified xsi:type="dcterms:W3CDTF">2025-11-12T18:38:22Z</dcterms:modified>
</cp:coreProperties>
</file>